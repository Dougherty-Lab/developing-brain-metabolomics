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54365622319/WOPIServiceId_TP_BOX_2/WOPIUserId_-/"/>
    </mc:Choice>
  </mc:AlternateContent>
  <xr:revisionPtr revIDLastSave="7" documentId="8_{433E5FFD-53D1-5E43-9629-3E461E48023A}" xr6:coauthVersionLast="47" xr6:coauthVersionMax="47" xr10:uidLastSave="{915760DF-6CE7-3B43-A390-D16E108B848D}"/>
  <bookViews>
    <workbookView xWindow="-31380" yWindow="980" windowWidth="31380" windowHeight="18680" xr2:uid="{5F42E365-1F8F-F046-9DBC-BBBE38E6BD6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<sst xmlns="http://schemas.openxmlformats.org/spreadsheetml/2006/main" count="101" uniqueCount="14">
  <si>
    <t>Sample</t>
  </si>
  <si>
    <t>Sex</t>
  </si>
  <si>
    <t>Weight (mg)</t>
  </si>
  <si>
    <t>Analysis Requested</t>
  </si>
  <si>
    <t>F</t>
  </si>
  <si>
    <t>Targeted Testosterone Only</t>
  </si>
  <si>
    <t>Targeted for TT, P4, E2; Untargeted</t>
  </si>
  <si>
    <t>M</t>
  </si>
  <si>
    <t xml:space="preserve">Targeted for TT, P4, E2 </t>
  </si>
  <si>
    <t>GW</t>
  </si>
  <si>
    <t>P4 (ng/mL)</t>
  </si>
  <si>
    <t>TT (ng/mL)</t>
  </si>
  <si>
    <t>17B-E2 (ng/mL)</t>
  </si>
  <si>
    <t>TT (B1) 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</si>
</sst>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0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FB19F-85FA-6145-9FE8-9F7D8C36D429}" name="Table1" displayName="Table1" ref="B1:J47" totalsRowShown="0" headerRowDxfId="9">
  <autoFilter ref="B1:J47" xr:uid="{26AFB19F-85FA-6145-9FE8-9F7D8C36D429}"/>
  <sortState xmlns:xlrd2="http://schemas.microsoft.com/office/spreadsheetml/2017/richdata2" ref="B2:J47">
    <sortCondition ref="B1:B47"/>
  </sortState>
  <tableColumns count="9">
    <tableColumn id="1" xr3:uid="{D44ECF88-EC18-6B43-B855-11F386CCA463}" name="Sample" dataDxfId="8"/>
    <tableColumn id="2" xr3:uid="{FD3D3374-B4B8-EE4B-96CF-2B4AD704EBE8}" name="Sex" dataDxfId="7"/>
    <tableColumn id="3" xr3:uid="{A927C530-C924-4943-8456-967B66D74E91}" name="Weight (mg)" dataDxfId="6"/>
    <tableColumn id="9" xr3:uid="{A55C476E-A896-8946-B080-C70CC18D7CC1}" name="GW" dataDxfId="5"/>
    <tableColumn id="4" xr3:uid="{EF19A9C4-D5B7-9B4F-8DE5-0F8B2EA2F94E}" name="Analysis Requested" dataDxfId="4"/>
    <tableColumn id="5" xr3:uid="{0FE1EA48-9F64-4441-A5CE-1C4A49E79E77}" name="P4 (ng/mL)" dataDxfId="3" dataCellStyle="Normal"/>
    <tableColumn id="6" xr3:uid="{8060F781-4E8B-1449-8B6E-8EEFD4597043}" name="TT (ng/mL)" dataDxfId="2" dataCellStyle="Normal"/>
    <tableColumn id="7" xr3:uid="{460E34A1-C769-924F-91C8-54EC03EF9DCC}" name="17B-E2 (ng/mL)" dataDxfId="1" dataCellStyle="Normal"/>
    <tableColumn id="8" xr3:uid="{6F945D3F-BDF3-654F-A77C-11C7B1810687}" name="TT (B1) (ng/mL)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6D99-EF8B-A646-87A7-0375672477AE}">
  <sheetPr>
    <pageSetUpPr fitToPage="1"/>
  </sheetPr>
  <dimension ref="B1:AC47"/>
  <sheetViews>
    <sheetView tabSelected="1" zoomScale="142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K8" sqref="K8"/>
    </sheetView>
  </sheetViews>
  <sheetFormatPr baseColWidth="10" defaultRowHeight="14" x14ac:dyDescent="0.2"/>
  <cols>
    <col min="4" max="5" width="14.19921875" customWidth="1"/>
    <col min="6" max="6" width="32.796875" customWidth="1"/>
    <col min="7" max="7" width="12.3984375" customWidth="1"/>
  </cols>
  <sheetData>
    <row r="1" spans="2:29" s="2" customFormat="1" ht="15.75" customHeight="1" x14ac:dyDescent="0.2"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10</v>
      </c>
      <c r="H1" s="1" t="s">
        <v>11</v>
      </c>
      <c r="I1" s="1" t="s">
        <v>12</v>
      </c>
      <c r="J1" s="1" t="s">
        <v>13</v>
      </c>
      <c r="K1" s="1"/>
      <c r="L1" s="1"/>
      <c r="M1" s="1"/>
    </row>
    <row r="2" spans="2:29" ht="15.75" customHeight="1" x14ac:dyDescent="0.2">
      <c r="B2" s="3">
        <v>1</v>
      </c>
      <c r="C2" s="3" t="s">
        <v>4</v>
      </c>
      <c r="D2">
        <v>50</v>
      </c>
      <c r="E2">
        <v>20</v>
      </c>
      <c r="F2" s="4" t="s">
        <v>5</v>
      </c>
      <c r="G2" s="8">
        <v>13.400699806837222</v>
      </c>
      <c r="H2" s="8">
        <v>0</v>
      </c>
      <c r="I2" s="8">
        <v>0.44918756146205097</v>
      </c>
      <c r="J2" s="8">
        <v>0</v>
      </c>
      <c r="K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2:29" ht="15.75" customHeight="1" x14ac:dyDescent="0.2">
      <c r="B3" s="3">
        <v>2</v>
      </c>
      <c r="C3" s="3" t="s">
        <v>4</v>
      </c>
      <c r="D3">
        <v>100</v>
      </c>
      <c r="E3">
        <v>21</v>
      </c>
      <c r="F3" s="4" t="s">
        <v>6</v>
      </c>
      <c r="G3" s="8">
        <v>12.854888748603239</v>
      </c>
      <c r="H3" s="8">
        <v>9.0089746765496092E-3</v>
      </c>
      <c r="I3" s="8">
        <v>1.1418478408796517</v>
      </c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2:29" ht="15.75" customHeight="1" x14ac:dyDescent="0.2">
      <c r="B4" s="3">
        <v>3</v>
      </c>
      <c r="C4" s="3" t="s">
        <v>4</v>
      </c>
      <c r="D4">
        <v>110</v>
      </c>
      <c r="E4">
        <v>22</v>
      </c>
      <c r="F4" s="4" t="s">
        <v>6</v>
      </c>
      <c r="G4" s="8">
        <v>17.530079179268927</v>
      </c>
      <c r="H4" s="8">
        <v>8.4658546391517958E-3</v>
      </c>
      <c r="I4" s="8">
        <v>1.125548266467012</v>
      </c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2:29" ht="15.75" customHeight="1" x14ac:dyDescent="0.2">
      <c r="B5" s="6">
        <v>4</v>
      </c>
      <c r="C5" s="6" t="s">
        <v>7</v>
      </c>
      <c r="D5">
        <v>120</v>
      </c>
      <c r="E5">
        <v>22</v>
      </c>
      <c r="F5" s="4" t="s">
        <v>6</v>
      </c>
      <c r="G5" s="8">
        <v>9.1948463631964277</v>
      </c>
      <c r="H5" s="8">
        <v>9.2679244873926578E-2</v>
      </c>
      <c r="I5" s="8">
        <v>0.56713088318812843</v>
      </c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2:29" ht="15.75" customHeight="1" x14ac:dyDescent="0.2">
      <c r="B6" s="6">
        <v>5</v>
      </c>
      <c r="C6" s="6" t="s">
        <v>7</v>
      </c>
      <c r="D6">
        <v>100</v>
      </c>
      <c r="E6">
        <v>23</v>
      </c>
      <c r="F6" s="4" t="s">
        <v>8</v>
      </c>
      <c r="G6" s="8">
        <v>7.2658585247954752</v>
      </c>
      <c r="H6" s="8">
        <v>7.950432614377663E-2</v>
      </c>
      <c r="I6" s="8">
        <v>0.38290187023670114</v>
      </c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2:29" ht="15.75" customHeight="1" x14ac:dyDescent="0.2">
      <c r="B7" s="3">
        <v>6</v>
      </c>
      <c r="C7" s="3" t="s">
        <v>4</v>
      </c>
      <c r="D7">
        <v>120</v>
      </c>
      <c r="E7">
        <v>21</v>
      </c>
      <c r="F7" s="4" t="s">
        <v>6</v>
      </c>
      <c r="G7" s="8">
        <v>8.780639245539767</v>
      </c>
      <c r="H7" s="8">
        <v>0</v>
      </c>
      <c r="I7" s="8">
        <v>7.8398865349625549E-2</v>
      </c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2:29" ht="15.75" customHeight="1" x14ac:dyDescent="0.2">
      <c r="B8" s="6">
        <v>7</v>
      </c>
      <c r="C8" s="6" t="s">
        <v>7</v>
      </c>
      <c r="D8">
        <v>130</v>
      </c>
      <c r="E8">
        <v>22</v>
      </c>
      <c r="F8" s="4" t="s">
        <v>6</v>
      </c>
      <c r="G8" s="8">
        <v>29.780554639956314</v>
      </c>
      <c r="H8" s="8">
        <v>0.17794584983646147</v>
      </c>
      <c r="I8" s="8">
        <v>3.4767182727729651</v>
      </c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9" ht="15.75" customHeight="1" x14ac:dyDescent="0.2">
      <c r="B9" s="3">
        <v>8</v>
      </c>
      <c r="C9" s="3" t="s">
        <v>4</v>
      </c>
      <c r="D9">
        <v>60</v>
      </c>
      <c r="E9">
        <v>20</v>
      </c>
      <c r="F9" s="4" t="s">
        <v>5</v>
      </c>
      <c r="G9" s="8">
        <v>12.95187895703479</v>
      </c>
      <c r="H9" s="8">
        <v>0</v>
      </c>
      <c r="I9" s="8">
        <v>0.21513353124925794</v>
      </c>
      <c r="J9" s="8">
        <f>I9*1.5</f>
        <v>0.3227002968738869</v>
      </c>
      <c r="K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9" x14ac:dyDescent="0.2">
      <c r="B10" s="3">
        <v>9</v>
      </c>
      <c r="C10" s="3" t="s">
        <v>4</v>
      </c>
      <c r="D10">
        <v>70</v>
      </c>
      <c r="E10">
        <v>20</v>
      </c>
      <c r="F10" s="4" t="s">
        <v>5</v>
      </c>
      <c r="G10" s="8">
        <v>17.264722491723923</v>
      </c>
      <c r="H10" s="8">
        <v>0.22279650761059255</v>
      </c>
      <c r="I10" s="8">
        <v>3.2660994746935033</v>
      </c>
      <c r="J10" s="8">
        <v>1.3792311481339375E-3</v>
      </c>
    </row>
    <row r="11" spans="2:29" x14ac:dyDescent="0.2">
      <c r="B11" s="6">
        <v>10</v>
      </c>
      <c r="C11" s="6" t="s">
        <v>7</v>
      </c>
      <c r="D11">
        <v>60</v>
      </c>
      <c r="E11">
        <v>20</v>
      </c>
      <c r="F11" s="4" t="s">
        <v>5</v>
      </c>
      <c r="G11" s="8">
        <v>6.4654930821312924</v>
      </c>
      <c r="H11" s="8">
        <v>0.20903815363975217</v>
      </c>
      <c r="I11" s="8">
        <v>0.4354212170366879</v>
      </c>
      <c r="J11" s="8">
        <v>0.27742965180772083</v>
      </c>
    </row>
    <row r="12" spans="2:29" x14ac:dyDescent="0.2">
      <c r="B12" s="6">
        <v>11</v>
      </c>
      <c r="C12" s="6" t="s">
        <v>7</v>
      </c>
      <c r="D12">
        <v>160</v>
      </c>
      <c r="E12">
        <v>21</v>
      </c>
      <c r="F12" s="4" t="s">
        <v>8</v>
      </c>
      <c r="G12" s="8">
        <v>7.5771994044056346</v>
      </c>
      <c r="H12" s="8">
        <v>0.17336368564786661</v>
      </c>
      <c r="I12" s="8">
        <v>0.99967385476033854</v>
      </c>
      <c r="J12" s="8"/>
    </row>
    <row r="13" spans="2:29" x14ac:dyDescent="0.2">
      <c r="B13" s="3">
        <v>12</v>
      </c>
      <c r="C13" s="3" t="s">
        <v>4</v>
      </c>
      <c r="D13">
        <v>100</v>
      </c>
      <c r="E13">
        <v>21</v>
      </c>
      <c r="F13" s="4" t="s">
        <v>8</v>
      </c>
      <c r="G13" s="8">
        <v>8.1101105252130186</v>
      </c>
      <c r="H13" s="8">
        <v>0</v>
      </c>
      <c r="I13" s="8">
        <v>0.62158491973160435</v>
      </c>
      <c r="J13" s="8"/>
    </row>
    <row r="14" spans="2:29" x14ac:dyDescent="0.2">
      <c r="B14" s="3">
        <v>13</v>
      </c>
      <c r="C14" s="3" t="s">
        <v>4</v>
      </c>
      <c r="D14">
        <v>60</v>
      </c>
      <c r="E14">
        <v>22</v>
      </c>
      <c r="F14" s="4" t="s">
        <v>6</v>
      </c>
      <c r="G14" s="8">
        <v>8.0197555274424221</v>
      </c>
      <c r="H14" s="8">
        <v>0.18037757996674167</v>
      </c>
      <c r="I14" s="8">
        <v>1.2107949821565609</v>
      </c>
      <c r="J14" s="8"/>
    </row>
    <row r="15" spans="2:29" x14ac:dyDescent="0.2">
      <c r="B15" s="6">
        <v>15</v>
      </c>
      <c r="C15" s="6" t="s">
        <v>7</v>
      </c>
      <c r="D15">
        <v>60</v>
      </c>
      <c r="E15">
        <v>21</v>
      </c>
      <c r="F15" s="4" t="s">
        <v>6</v>
      </c>
      <c r="G15" s="8">
        <v>6.8234111091763889</v>
      </c>
      <c r="H15" s="8">
        <v>0.13858203158712351</v>
      </c>
      <c r="I15" s="8">
        <v>2.1212441707730805</v>
      </c>
      <c r="J15" s="8"/>
    </row>
    <row r="16" spans="2:29" x14ac:dyDescent="0.2">
      <c r="B16" s="6">
        <v>17</v>
      </c>
      <c r="C16" s="6" t="s">
        <v>7</v>
      </c>
      <c r="D16">
        <v>100</v>
      </c>
      <c r="E16">
        <v>18</v>
      </c>
      <c r="F16" s="4" t="s">
        <v>6</v>
      </c>
      <c r="G16" s="8">
        <v>203.73845063013198</v>
      </c>
      <c r="H16" s="8">
        <v>7.3816671670169115E-2</v>
      </c>
      <c r="I16" s="8">
        <v>8.0084397264859177</v>
      </c>
      <c r="J16" s="8"/>
    </row>
    <row r="17" spans="2:10" x14ac:dyDescent="0.2">
      <c r="B17" s="3">
        <v>18</v>
      </c>
      <c r="C17" s="3" t="s">
        <v>4</v>
      </c>
      <c r="D17">
        <v>110</v>
      </c>
      <c r="E17">
        <v>23</v>
      </c>
      <c r="F17" s="4" t="s">
        <v>6</v>
      </c>
      <c r="G17" s="8">
        <v>11.633604350623296</v>
      </c>
      <c r="H17" s="8">
        <v>0</v>
      </c>
      <c r="I17" s="8">
        <v>0.8065814896422121</v>
      </c>
      <c r="J17" s="8"/>
    </row>
    <row r="18" spans="2:10" x14ac:dyDescent="0.2">
      <c r="B18" s="6">
        <v>19</v>
      </c>
      <c r="C18" s="6" t="s">
        <v>7</v>
      </c>
      <c r="D18">
        <v>70</v>
      </c>
      <c r="E18">
        <v>20</v>
      </c>
      <c r="F18" s="4" t="s">
        <v>5</v>
      </c>
      <c r="G18" s="8">
        <v>14.324145580329418</v>
      </c>
      <c r="H18" s="8">
        <v>0.12566210334814862</v>
      </c>
      <c r="I18" s="8">
        <v>0.89949508058198235</v>
      </c>
      <c r="J18" s="8">
        <v>0.13851634930358919</v>
      </c>
    </row>
    <row r="19" spans="2:10" x14ac:dyDescent="0.2">
      <c r="B19" s="3">
        <v>20</v>
      </c>
      <c r="C19" s="3" t="s">
        <v>4</v>
      </c>
      <c r="D19">
        <v>60</v>
      </c>
      <c r="E19">
        <v>20</v>
      </c>
      <c r="F19" s="4" t="s">
        <v>5</v>
      </c>
      <c r="G19" s="8">
        <v>3.4713836436150629</v>
      </c>
      <c r="H19" s="8">
        <v>0</v>
      </c>
      <c r="I19" s="8">
        <v>0.15158989172525125</v>
      </c>
      <c r="J19" s="8">
        <v>8.922793917573087E-3</v>
      </c>
    </row>
    <row r="20" spans="2:10" x14ac:dyDescent="0.2">
      <c r="B20" s="3">
        <v>21</v>
      </c>
      <c r="C20" s="3" t="s">
        <v>4</v>
      </c>
      <c r="D20">
        <v>110</v>
      </c>
      <c r="E20">
        <v>23</v>
      </c>
      <c r="F20" s="4" t="s">
        <v>6</v>
      </c>
      <c r="G20" s="8">
        <v>6.3140984032865077</v>
      </c>
      <c r="H20" s="8">
        <v>0</v>
      </c>
      <c r="I20" s="8">
        <v>0.2119545311370763</v>
      </c>
      <c r="J20" s="8"/>
    </row>
    <row r="21" spans="2:10" x14ac:dyDescent="0.2">
      <c r="B21" s="6">
        <v>22</v>
      </c>
      <c r="C21" s="6" t="s">
        <v>7</v>
      </c>
      <c r="D21">
        <v>80</v>
      </c>
      <c r="E21">
        <v>22</v>
      </c>
      <c r="F21" s="4" t="s">
        <v>8</v>
      </c>
      <c r="G21" s="8">
        <v>5.3244402695596378</v>
      </c>
      <c r="H21" s="8">
        <v>0.10642144227993863</v>
      </c>
      <c r="I21" s="8">
        <v>1.2925566158763695</v>
      </c>
      <c r="J21" s="8"/>
    </row>
    <row r="22" spans="2:10" x14ac:dyDescent="0.2">
      <c r="B22" s="6">
        <v>23</v>
      </c>
      <c r="C22" s="6" t="s">
        <v>7</v>
      </c>
      <c r="D22">
        <v>120</v>
      </c>
      <c r="E22">
        <v>18</v>
      </c>
      <c r="F22" s="4" t="s">
        <v>6</v>
      </c>
      <c r="G22" s="8">
        <v>3.9802441507029971</v>
      </c>
      <c r="H22" s="8">
        <v>7.5327030821024391E-2</v>
      </c>
      <c r="I22" s="8">
        <v>0.25894173954638083</v>
      </c>
      <c r="J22" s="8"/>
    </row>
    <row r="23" spans="2:10" x14ac:dyDescent="0.2">
      <c r="B23" s="3">
        <v>24</v>
      </c>
      <c r="C23" s="3" t="s">
        <v>4</v>
      </c>
      <c r="D23">
        <v>100</v>
      </c>
      <c r="E23">
        <v>17</v>
      </c>
      <c r="F23" s="4" t="s">
        <v>6</v>
      </c>
      <c r="G23" s="8">
        <v>15.098517648328567</v>
      </c>
      <c r="H23" s="8">
        <v>0</v>
      </c>
      <c r="I23" s="8">
        <v>0.35490608366273485</v>
      </c>
      <c r="J23" s="8"/>
    </row>
    <row r="24" spans="2:10" x14ac:dyDescent="0.2">
      <c r="B24" s="6">
        <v>25</v>
      </c>
      <c r="C24" s="6" t="s">
        <v>7</v>
      </c>
      <c r="D24">
        <v>60</v>
      </c>
      <c r="E24">
        <v>23</v>
      </c>
      <c r="F24" s="4" t="s">
        <v>8</v>
      </c>
      <c r="G24" s="8">
        <v>5.6900838417231858</v>
      </c>
      <c r="H24" s="8">
        <v>0.13399396326674079</v>
      </c>
      <c r="I24" s="8">
        <v>0.99835414243919063</v>
      </c>
      <c r="J24" s="8"/>
    </row>
    <row r="25" spans="2:10" x14ac:dyDescent="0.2">
      <c r="B25" s="6">
        <v>26</v>
      </c>
      <c r="C25" s="6" t="s">
        <v>7</v>
      </c>
      <c r="D25">
        <v>110</v>
      </c>
      <c r="E25">
        <v>24</v>
      </c>
      <c r="F25" s="4" t="s">
        <v>6</v>
      </c>
      <c r="G25" s="8">
        <v>12.573742554654565</v>
      </c>
      <c r="H25" s="8">
        <v>9.2534449360740373E-3</v>
      </c>
      <c r="I25" s="8">
        <v>0.48870064869531382</v>
      </c>
      <c r="J25" s="8"/>
    </row>
    <row r="26" spans="2:10" x14ac:dyDescent="0.2">
      <c r="B26" s="6">
        <v>27</v>
      </c>
      <c r="C26" s="6" t="s">
        <v>7</v>
      </c>
      <c r="D26">
        <v>110</v>
      </c>
      <c r="E26">
        <v>23</v>
      </c>
      <c r="F26" s="4" t="s">
        <v>8</v>
      </c>
      <c r="G26" s="8">
        <v>26.048389524706572</v>
      </c>
      <c r="H26" s="8">
        <v>0.1321715201783645</v>
      </c>
      <c r="I26" s="8">
        <v>0.8201649432220709</v>
      </c>
      <c r="J26" s="8"/>
    </row>
    <row r="27" spans="2:10" x14ac:dyDescent="0.2">
      <c r="B27" s="6">
        <v>30</v>
      </c>
      <c r="C27" s="6" t="s">
        <v>7</v>
      </c>
      <c r="D27">
        <v>110</v>
      </c>
      <c r="E27">
        <v>23</v>
      </c>
      <c r="F27" s="4" t="s">
        <v>8</v>
      </c>
      <c r="G27" s="8">
        <v>17.210772421878524</v>
      </c>
      <c r="H27" s="8">
        <v>0.13780958476367797</v>
      </c>
      <c r="I27" s="8">
        <v>2.0374268310715666</v>
      </c>
      <c r="J27" s="8"/>
    </row>
    <row r="28" spans="2:10" x14ac:dyDescent="0.2">
      <c r="B28" s="3">
        <v>31</v>
      </c>
      <c r="C28" s="3" t="s">
        <v>4</v>
      </c>
      <c r="D28">
        <v>100</v>
      </c>
      <c r="E28">
        <v>17</v>
      </c>
      <c r="F28" s="4" t="s">
        <v>6</v>
      </c>
      <c r="G28" s="8">
        <v>112.60687133162941</v>
      </c>
      <c r="H28" s="8">
        <v>0</v>
      </c>
      <c r="I28" s="8">
        <v>10.17140632067626</v>
      </c>
      <c r="J28" s="8"/>
    </row>
    <row r="29" spans="2:10" x14ac:dyDescent="0.2">
      <c r="B29" s="6">
        <v>32</v>
      </c>
      <c r="C29" s="6" t="s">
        <v>7</v>
      </c>
      <c r="D29">
        <v>70</v>
      </c>
      <c r="E29">
        <v>20</v>
      </c>
      <c r="F29" s="4" t="s">
        <v>5</v>
      </c>
      <c r="G29" s="8">
        <v>4.0125066998779637</v>
      </c>
      <c r="H29" s="8">
        <v>0.1423404436357448</v>
      </c>
      <c r="I29" s="8">
        <v>0.19830417171349896</v>
      </c>
      <c r="J29" s="8">
        <v>2.4778974833239917E-2</v>
      </c>
    </row>
    <row r="30" spans="2:10" x14ac:dyDescent="0.2">
      <c r="B30" s="3">
        <v>33</v>
      </c>
      <c r="C30" s="3" t="s">
        <v>4</v>
      </c>
      <c r="D30">
        <v>110</v>
      </c>
      <c r="E30">
        <v>16</v>
      </c>
      <c r="F30" s="4" t="s">
        <v>6</v>
      </c>
      <c r="G30" s="8">
        <v>90.06098060910081</v>
      </c>
      <c r="H30" s="8">
        <v>4.8971215257505793E-2</v>
      </c>
      <c r="I30" s="8">
        <v>5.5016335011647231</v>
      </c>
      <c r="J30" s="8"/>
    </row>
    <row r="31" spans="2:10" x14ac:dyDescent="0.2">
      <c r="B31" s="6">
        <v>34</v>
      </c>
      <c r="C31" s="6" t="s">
        <v>7</v>
      </c>
      <c r="D31">
        <v>120</v>
      </c>
      <c r="E31">
        <v>23</v>
      </c>
      <c r="F31" s="4" t="s">
        <v>8</v>
      </c>
      <c r="G31" s="8">
        <v>21.542170452724335</v>
      </c>
      <c r="H31" s="8">
        <v>0.13450599608728206</v>
      </c>
      <c r="I31" s="8">
        <v>1.232721261547314</v>
      </c>
      <c r="J31" s="8"/>
    </row>
    <row r="32" spans="2:10" x14ac:dyDescent="0.2">
      <c r="B32" s="6">
        <v>35</v>
      </c>
      <c r="C32" s="6" t="s">
        <v>7</v>
      </c>
      <c r="D32">
        <v>50</v>
      </c>
      <c r="E32">
        <v>20</v>
      </c>
      <c r="F32" s="4" t="s">
        <v>5</v>
      </c>
      <c r="G32" s="8">
        <v>51.49806089542237</v>
      </c>
      <c r="H32" s="8">
        <v>0.37319963654407545</v>
      </c>
      <c r="I32" s="8">
        <v>1.6125785823103984</v>
      </c>
      <c r="J32" s="8">
        <v>0.16715214700863879</v>
      </c>
    </row>
    <row r="33" spans="2:10" x14ac:dyDescent="0.2">
      <c r="B33" s="3">
        <v>36</v>
      </c>
      <c r="C33" s="3" t="s">
        <v>4</v>
      </c>
      <c r="D33">
        <v>110</v>
      </c>
      <c r="E33">
        <v>20</v>
      </c>
      <c r="F33" s="4" t="s">
        <v>8</v>
      </c>
      <c r="G33" s="8">
        <v>9.2714804229244212</v>
      </c>
      <c r="H33" s="8">
        <v>0</v>
      </c>
      <c r="I33" s="8">
        <v>0.46003892940484753</v>
      </c>
      <c r="J33" s="8"/>
    </row>
    <row r="34" spans="2:10" x14ac:dyDescent="0.2">
      <c r="B34" s="6">
        <v>37</v>
      </c>
      <c r="C34" s="6" t="s">
        <v>7</v>
      </c>
      <c r="D34">
        <v>130</v>
      </c>
      <c r="E34">
        <v>23</v>
      </c>
      <c r="F34" s="4" t="s">
        <v>6</v>
      </c>
      <c r="G34" s="8">
        <v>5.0534842031435501</v>
      </c>
      <c r="H34" s="8">
        <v>3.8879389171010421E-2</v>
      </c>
      <c r="I34" s="8">
        <v>0.77121635263543953</v>
      </c>
      <c r="J34" s="8"/>
    </row>
    <row r="35" spans="2:10" x14ac:dyDescent="0.2">
      <c r="B35" s="3">
        <v>38</v>
      </c>
      <c r="C35" s="3" t="s">
        <v>4</v>
      </c>
      <c r="D35">
        <v>80</v>
      </c>
      <c r="E35">
        <v>20</v>
      </c>
      <c r="F35" s="4" t="s">
        <v>8</v>
      </c>
      <c r="G35" s="8">
        <v>22.19324566027365</v>
      </c>
      <c r="H35" s="8">
        <v>0.89434907792599394</v>
      </c>
      <c r="I35" s="8">
        <v>8.8078264869014777</v>
      </c>
      <c r="J35" s="8"/>
    </row>
    <row r="36" spans="2:10" x14ac:dyDescent="0.2">
      <c r="B36" s="3">
        <v>39</v>
      </c>
      <c r="C36" s="3" t="s">
        <v>4</v>
      </c>
      <c r="D36">
        <v>110</v>
      </c>
      <c r="E36">
        <v>21</v>
      </c>
      <c r="F36" s="4" t="s">
        <v>8</v>
      </c>
      <c r="G36" s="8">
        <v>83.817797920841343</v>
      </c>
      <c r="H36" s="8">
        <v>0.22427424831837636</v>
      </c>
      <c r="I36" s="8">
        <v>2.3512781687380313</v>
      </c>
      <c r="J36" s="8"/>
    </row>
    <row r="37" spans="2:10" x14ac:dyDescent="0.2">
      <c r="B37" s="3">
        <v>40</v>
      </c>
      <c r="C37" s="3" t="s">
        <v>4</v>
      </c>
      <c r="D37">
        <v>120</v>
      </c>
      <c r="E37">
        <v>19</v>
      </c>
      <c r="F37" s="4" t="s">
        <v>6</v>
      </c>
      <c r="G37" s="8">
        <v>2.4704211644835499</v>
      </c>
      <c r="H37" s="8">
        <v>0</v>
      </c>
      <c r="I37" s="8">
        <v>0.22703111253627281</v>
      </c>
      <c r="J37" s="8"/>
    </row>
    <row r="38" spans="2:10" x14ac:dyDescent="0.2">
      <c r="B38" s="6">
        <v>41</v>
      </c>
      <c r="C38" s="6" t="s">
        <v>7</v>
      </c>
      <c r="D38">
        <v>150</v>
      </c>
      <c r="E38">
        <v>23</v>
      </c>
      <c r="F38" s="4" t="s">
        <v>6</v>
      </c>
      <c r="G38" s="8">
        <v>5.7399434612821914</v>
      </c>
      <c r="H38" s="8">
        <v>9.5895902152806745E-2</v>
      </c>
      <c r="I38" s="8">
        <v>1.2008598205117924</v>
      </c>
      <c r="J38" s="8"/>
    </row>
    <row r="39" spans="2:10" x14ac:dyDescent="0.2">
      <c r="B39" s="3">
        <v>42</v>
      </c>
      <c r="C39" s="3" t="s">
        <v>4</v>
      </c>
      <c r="D39">
        <v>110</v>
      </c>
      <c r="E39">
        <v>24</v>
      </c>
      <c r="F39" s="4" t="s">
        <v>6</v>
      </c>
      <c r="G39" s="8">
        <v>7.3690251149165853</v>
      </c>
      <c r="H39" s="8">
        <v>0</v>
      </c>
      <c r="I39" s="8">
        <v>0.95280596569055653</v>
      </c>
      <c r="J39" s="8"/>
    </row>
    <row r="40" spans="2:10" x14ac:dyDescent="0.2">
      <c r="B40" s="3">
        <v>43</v>
      </c>
      <c r="C40" s="3" t="s">
        <v>4</v>
      </c>
      <c r="D40">
        <v>100</v>
      </c>
      <c r="E40">
        <v>19</v>
      </c>
      <c r="F40" s="4" t="s">
        <v>6</v>
      </c>
      <c r="G40" s="8">
        <v>13.441397095416912</v>
      </c>
      <c r="H40" s="8">
        <v>0</v>
      </c>
      <c r="I40" s="8">
        <v>0.89881985374359563</v>
      </c>
      <c r="J40" s="8"/>
    </row>
    <row r="41" spans="2:10" x14ac:dyDescent="0.2">
      <c r="B41" s="6">
        <v>44</v>
      </c>
      <c r="C41" s="6" t="s">
        <v>7</v>
      </c>
      <c r="D41">
        <v>100</v>
      </c>
      <c r="E41">
        <v>21</v>
      </c>
      <c r="F41" s="4" t="s">
        <v>8</v>
      </c>
      <c r="G41" s="8">
        <v>17.10572472184349</v>
      </c>
      <c r="H41" s="8">
        <v>0.16130149361599613</v>
      </c>
      <c r="I41" s="8">
        <v>2.4693094269489748</v>
      </c>
      <c r="J41" s="8"/>
    </row>
    <row r="42" spans="2:10" x14ac:dyDescent="0.2">
      <c r="B42" s="6">
        <v>45</v>
      </c>
      <c r="C42" s="6" t="s">
        <v>7</v>
      </c>
      <c r="D42">
        <v>110</v>
      </c>
      <c r="E42">
        <v>20</v>
      </c>
      <c r="F42" s="4" t="s">
        <v>8</v>
      </c>
      <c r="G42" s="8">
        <v>26.355295307562667</v>
      </c>
      <c r="H42" s="8">
        <v>9.9235535570252192E-2</v>
      </c>
      <c r="I42" s="8">
        <v>3.0385117580965251E-2</v>
      </c>
      <c r="J42" s="8"/>
    </row>
    <row r="43" spans="2:10" x14ac:dyDescent="0.2">
      <c r="B43" s="6">
        <v>46</v>
      </c>
      <c r="C43" s="6" t="s">
        <v>7</v>
      </c>
      <c r="D43">
        <v>120</v>
      </c>
      <c r="E43">
        <v>17</v>
      </c>
      <c r="F43" s="4" t="s">
        <v>6</v>
      </c>
      <c r="G43" s="8">
        <v>6.5382604970482845</v>
      </c>
      <c r="H43" s="8">
        <v>4.4186608402418212E-2</v>
      </c>
      <c r="I43" s="8">
        <v>0.62668789517869672</v>
      </c>
      <c r="J43" s="8"/>
    </row>
    <row r="44" spans="2:10" x14ac:dyDescent="0.2">
      <c r="B44" s="6">
        <v>47</v>
      </c>
      <c r="C44" s="6" t="s">
        <v>7</v>
      </c>
      <c r="D44">
        <v>100</v>
      </c>
      <c r="E44">
        <v>19</v>
      </c>
      <c r="F44" s="4" t="s">
        <v>6</v>
      </c>
      <c r="G44" s="8">
        <v>3.7376524470493271</v>
      </c>
      <c r="H44" s="8">
        <v>6.9889998877539564E-2</v>
      </c>
      <c r="I44" s="8">
        <v>0.10097172720074266</v>
      </c>
      <c r="J44" s="8"/>
    </row>
    <row r="45" spans="2:10" x14ac:dyDescent="0.2">
      <c r="B45" s="3">
        <v>48</v>
      </c>
      <c r="C45" s="3" t="s">
        <v>4</v>
      </c>
      <c r="D45">
        <v>80</v>
      </c>
      <c r="E45">
        <v>20</v>
      </c>
      <c r="F45" s="4" t="s">
        <v>8</v>
      </c>
      <c r="G45" s="8">
        <v>12.228595912986156</v>
      </c>
      <c r="H45" s="8">
        <v>1.9954606369051768E-2</v>
      </c>
      <c r="I45" s="8">
        <v>1.9315739684346971</v>
      </c>
      <c r="J45" s="8"/>
    </row>
    <row r="46" spans="2:10" x14ac:dyDescent="0.2">
      <c r="B46" s="6">
        <v>49</v>
      </c>
      <c r="C46" s="6" t="s">
        <v>7</v>
      </c>
      <c r="D46">
        <v>110</v>
      </c>
      <c r="E46">
        <v>19</v>
      </c>
      <c r="F46" s="4" t="s">
        <v>6</v>
      </c>
      <c r="G46" s="8">
        <v>8.3481512264796969</v>
      </c>
      <c r="H46" s="8">
        <v>0.20811773966927727</v>
      </c>
      <c r="I46" s="8">
        <v>0.27428409563408546</v>
      </c>
      <c r="J46" s="8"/>
    </row>
    <row r="47" spans="2:10" x14ac:dyDescent="0.2">
      <c r="B47" s="7">
        <v>50</v>
      </c>
      <c r="C47" s="7" t="s">
        <v>7</v>
      </c>
      <c r="D47">
        <v>100</v>
      </c>
      <c r="E47">
        <v>21</v>
      </c>
      <c r="F47" s="4" t="s">
        <v>6</v>
      </c>
      <c r="G47" s="8">
        <v>17.441441812829712</v>
      </c>
      <c r="H47" s="8">
        <v>0.46484495319994218</v>
      </c>
      <c r="I47" s="8">
        <v>0.20483449896603345</v>
      </c>
      <c r="J47" s="8"/>
    </row>
  </sheetData>
  <pageMargins left="0.7" right="0.7" top="0.75" bottom="0.75" header="0.3" footer="0.3"/>
  <pageSetup scale="8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Chaturvedi</dc:creator>
  <cp:lastModifiedBy>Chaturvedi, Sneha</cp:lastModifiedBy>
  <dcterms:created xsi:type="dcterms:W3CDTF">2025-04-02T19:46:30Z</dcterms:created>
  <dcterms:modified xsi:type="dcterms:W3CDTF">2025-07-16T19:54:16Z</dcterms:modified>
</cp:coreProperties>
</file>